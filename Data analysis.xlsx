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稿件\P项目\P750\P750_原始实验数据\"/>
    </mc:Choice>
  </mc:AlternateContent>
  <xr:revisionPtr revIDLastSave="0" documentId="13_ncr:1_{662179A4-E3E3-4358-AB2C-9E6997A1CF34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result" sheetId="1" r:id="rId1"/>
    <sheet name="raw data" sheetId="2" r:id="rId2"/>
    <sheet name="invasion" sheetId="3" r:id="rId3"/>
    <sheet name="wou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J2" i="4"/>
  <c r="H6" i="4" s="1"/>
  <c r="I6" i="4" s="1"/>
  <c r="H2" i="4"/>
  <c r="C2" i="4"/>
  <c r="C5" i="4" s="1"/>
  <c r="D5" i="4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H7" i="4" l="1"/>
  <c r="I7" i="4" s="1"/>
  <c r="C6" i="4"/>
  <c r="D6" i="4" s="1"/>
  <c r="H5" i="4"/>
  <c r="I5" i="4" s="1"/>
  <c r="C7" i="4"/>
  <c r="D7" i="4" s="1"/>
  <c r="G8" i="1"/>
  <c r="G9" i="1" s="1"/>
  <c r="G10" i="1" s="1"/>
  <c r="G11" i="1" s="1"/>
  <c r="G2" i="1"/>
  <c r="G3" i="1" s="1"/>
  <c r="G4" i="1" s="1"/>
  <c r="G5" i="1" s="1"/>
  <c r="G6" i="1" s="1"/>
  <c r="G7" i="1" s="1"/>
  <c r="H7" i="1" s="1"/>
  <c r="I7" i="1" s="1"/>
  <c r="H8" i="1" l="1"/>
  <c r="I8" i="1" s="1"/>
  <c r="H11" i="1"/>
  <c r="I11" i="1" s="1"/>
  <c r="G12" i="1"/>
  <c r="H9" i="1"/>
  <c r="I9" i="1" s="1"/>
  <c r="H10" i="1"/>
  <c r="I10" i="1" s="1"/>
  <c r="H6" i="1"/>
  <c r="I6" i="1" s="1"/>
  <c r="H3" i="1"/>
  <c r="I3" i="1" s="1"/>
  <c r="H5" i="1"/>
  <c r="I5" i="1" s="1"/>
  <c r="H2" i="1"/>
  <c r="I2" i="1" s="1"/>
  <c r="H4" i="1"/>
  <c r="I4" i="1" s="1"/>
  <c r="G13" i="1" l="1"/>
  <c r="H13" i="1" s="1"/>
  <c r="I13" i="1" s="1"/>
  <c r="H12" i="1"/>
  <c r="I12" i="1" s="1"/>
</calcChain>
</file>

<file path=xl/sharedStrings.xml><?xml version="1.0" encoding="utf-8"?>
<sst xmlns="http://schemas.openxmlformats.org/spreadsheetml/2006/main" count="118" uniqueCount="43">
  <si>
    <t xml:space="preserve">Cq   </t>
  </si>
  <si>
    <t>Cq Mean</t>
  </si>
  <si>
    <t>target gene</t>
  </si>
  <si>
    <t>GAPDH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</si>
  <si>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</si>
  <si>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</si>
  <si>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</si>
  <si>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</si>
  <si>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</si>
  <si>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</si>
  <si>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</si>
  <si>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</si>
  <si>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</si>
  <si>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</si>
  <si>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</si>
  <si>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</si>
  <si>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</si>
  <si>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</si>
  <si>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</si>
  <si>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</si>
  <si>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</si>
  <si>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</si>
  <si>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</si>
  <si>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</si>
  <si>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</si>
  <si>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</si>
  <si>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</si>
  <si>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</si>
  <si>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</si>
  <si>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si-NC</t>
    <phoneticPr fontId="1" type="noConversion"/>
  </si>
  <si>
    <t>Invasion</t>
    <phoneticPr fontId="1" type="noConversion"/>
  </si>
  <si>
    <t>blank area</t>
    <phoneticPr fontId="1" type="noConversion"/>
  </si>
  <si>
    <t>Migration rate%</t>
    <phoneticPr fontId="1" type="noConversion"/>
  </si>
  <si>
    <t>BCAP31</t>
  </si>
  <si>
    <t>BCAP31</t>
    <phoneticPr fontId="1" type="noConversion"/>
  </si>
  <si>
    <t>HSPE1</t>
  </si>
  <si>
    <t>HSPE1</t>
    <phoneticPr fontId="1" type="noConversion"/>
  </si>
  <si>
    <t>Het-1A</t>
  </si>
  <si>
    <t>TE-1/KYSE150</t>
  </si>
  <si>
    <t>si-BCAP31</t>
  </si>
  <si>
    <t>si-BCAP31</t>
    <phoneticPr fontId="1" type="noConversion"/>
  </si>
  <si>
    <t>TE-1/KYSE150</t>
    <phoneticPr fontId="1" type="noConversion"/>
  </si>
  <si>
    <t>expression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</si>
</sst>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##0.00;\-###0.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  <font>
      <b/>
      <sz val="8.25"/>
      <name val="Microsoft Sans Serif"/>
      <family val="2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top"/>
      <protection locked="0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7" fontId="3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/>
    <xf numFmtId="9" fontId="0" fillId="0" borderId="0" xfId="2" applyFont="1" applyAlignment="1"/>
    <xf numFmtId="0" fontId="0" fillId="0" borderId="0" xfId="0" applyAlignment="1">
      <alignment horizontal="center" vertical="center"/>
    </xf>
  </cellXfs>
  <cellStyles count="3">
    <cellStyle name="Normal" xfId="1" xr:uid="{35383C33-3018-4BD8-819F-013AC27CEC6B}"/>
    <cellStyle name="百分比" xfId="2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H19" sqref="H19"/>
    </sheetView>
  </sheetViews>
  <sheetFormatPr defaultRowHeight="14" x14ac:dyDescent="0.3"/>
  <cols>
    <col min="1" max="1" width="13.83203125" bestFit="1" customWidth="1"/>
  </cols>
  <sheetData>
    <row r="1" spans="1:16" s="2" customFormat="1" x14ac:dyDescent="0.3">
      <c r="A1"/>
      <c r="B1"/>
      <c r="C1" s="1" t="s">
        <v>0</v>
      </c>
      <c r="D1" s="1" t="s">
        <v>1</v>
      </c>
      <c r="E1" s="2" t="s">
        <v>2</v>
      </c>
      <c r="F1"/>
      <c r="G1"/>
      <c r="H1"/>
      <c r="I1" t="s">
        <v>42</v>
      </c>
      <c r="L1" s="4"/>
      <c r="M1" s="4"/>
      <c r="N1" s="4"/>
      <c r="O1" s="4"/>
      <c r="P1" s="4"/>
    </row>
    <row r="2" spans="1:16" s="2" customFormat="1" x14ac:dyDescent="0.3">
      <c r="A2" s="2" t="s">
        <v>37</v>
      </c>
      <c r="B2" t="s">
        <v>3</v>
      </c>
      <c r="C2" s="2">
        <v>18.38</v>
      </c>
      <c r="D2" s="1">
        <f>AVERAGE(C2:C4)</f>
        <v>18.233333333333334</v>
      </c>
      <c r="E2" s="2">
        <v>30.61</v>
      </c>
      <c r="F2" s="1">
        <f>E2-D2</f>
        <v>12.376666666666665</v>
      </c>
      <c r="G2" s="1">
        <f>AVERAGE(F2:F4)</f>
        <v>12.25</v>
      </c>
      <c r="H2" s="1">
        <f>F2-G2</f>
        <v>0.12666666666666515</v>
      </c>
      <c r="I2">
        <f>POWER(2,-H2)</f>
        <v>0.91594529027024962</v>
      </c>
      <c r="J2" s="8" t="s">
        <v>34</v>
      </c>
      <c r="N2" s="4"/>
      <c r="O2" s="4"/>
      <c r="P2" s="4"/>
    </row>
    <row r="3" spans="1:16" s="2" customFormat="1" x14ac:dyDescent="0.3">
      <c r="A3" s="2" t="s">
        <v>37</v>
      </c>
      <c r="B3" t="s">
        <v>3</v>
      </c>
      <c r="C3" s="2">
        <v>18.37</v>
      </c>
      <c r="D3" s="1">
        <f>AVERAGE(C2:C4)</f>
        <v>18.233333333333334</v>
      </c>
      <c r="E3" s="2">
        <v>30.73</v>
      </c>
      <c r="F3" s="1">
        <f t="shared" ref="F3:F7" si="0">E3-D3</f>
        <v>12.496666666666666</v>
      </c>
      <c r="G3" s="1">
        <f>G2</f>
        <v>12.25</v>
      </c>
      <c r="H3" s="1">
        <f t="shared" ref="H3:H7" si="1">F3-G3</f>
        <v>0.24666666666666615</v>
      </c>
      <c r="I3">
        <f t="shared" ref="I3:I7" si="2">POWER(2,-H3)</f>
        <v>0.84284154475469963</v>
      </c>
      <c r="J3" s="8"/>
      <c r="N3" s="4"/>
      <c r="O3" s="4"/>
      <c r="P3" s="4"/>
    </row>
    <row r="4" spans="1:16" s="2" customFormat="1" x14ac:dyDescent="0.3">
      <c r="A4" s="2" t="s">
        <v>37</v>
      </c>
      <c r="B4" t="s">
        <v>3</v>
      </c>
      <c r="C4" s="2">
        <v>17.95</v>
      </c>
      <c r="D4" s="1">
        <f>AVERAGE(C2:C4)</f>
        <v>18.233333333333334</v>
      </c>
      <c r="E4" s="2">
        <v>30.11</v>
      </c>
      <c r="F4" s="1">
        <f t="shared" si="0"/>
        <v>11.876666666666665</v>
      </c>
      <c r="G4" s="1">
        <f t="shared" ref="G4:G7" si="3">G3</f>
        <v>12.25</v>
      </c>
      <c r="H4" s="1">
        <f t="shared" si="1"/>
        <v>-0.37333333333333485</v>
      </c>
      <c r="I4">
        <f t="shared" si="2"/>
        <v>1.2953422518919482</v>
      </c>
      <c r="J4" s="8"/>
      <c r="N4" s="4"/>
      <c r="O4" s="4"/>
      <c r="P4" s="4"/>
    </row>
    <row r="5" spans="1:16" s="2" customFormat="1" ht="15.5" x14ac:dyDescent="0.3">
      <c r="A5" s="5" t="s">
        <v>41</v>
      </c>
      <c r="B5" t="s">
        <v>3</v>
      </c>
      <c r="C5" s="2">
        <v>20.03</v>
      </c>
      <c r="D5" s="1">
        <f>AVERAGE(C5:C7)</f>
        <v>19.893333333333334</v>
      </c>
      <c r="E5" s="2">
        <v>27.46</v>
      </c>
      <c r="F5" s="1">
        <f t="shared" si="0"/>
        <v>7.5666666666666664</v>
      </c>
      <c r="G5" s="1">
        <f t="shared" si="3"/>
        <v>12.25</v>
      </c>
      <c r="H5" s="1">
        <f t="shared" si="1"/>
        <v>-4.6833333333333336</v>
      </c>
      <c r="I5">
        <f t="shared" si="2"/>
        <v>25.69353221962805</v>
      </c>
      <c r="J5" s="8"/>
      <c r="L5" s="4"/>
      <c r="M5" s="4"/>
      <c r="N5" s="4"/>
      <c r="O5" s="4"/>
      <c r="P5" s="4"/>
    </row>
    <row r="6" spans="1:16" s="2" customFormat="1" ht="15.5" x14ac:dyDescent="0.3">
      <c r="A6" s="5" t="s">
        <v>38</v>
      </c>
      <c r="B6" t="s">
        <v>3</v>
      </c>
      <c r="C6" s="2">
        <v>19.579999999999998</v>
      </c>
      <c r="D6" s="1">
        <f>AVERAGE(C5:C7)</f>
        <v>19.893333333333334</v>
      </c>
      <c r="E6" s="2">
        <v>27.61</v>
      </c>
      <c r="F6" s="1">
        <f t="shared" si="0"/>
        <v>7.716666666666665</v>
      </c>
      <c r="G6" s="1">
        <f t="shared" si="3"/>
        <v>12.25</v>
      </c>
      <c r="H6" s="1">
        <f t="shared" si="1"/>
        <v>-4.533333333333335</v>
      </c>
      <c r="I6">
        <f t="shared" si="2"/>
        <v>23.156307799046072</v>
      </c>
      <c r="J6" s="8"/>
      <c r="L6" s="4"/>
      <c r="M6" s="4"/>
      <c r="N6" s="4"/>
      <c r="O6" s="4"/>
      <c r="P6" s="4"/>
    </row>
    <row r="7" spans="1:16" s="2" customFormat="1" ht="15.5" x14ac:dyDescent="0.3">
      <c r="A7" s="5" t="s">
        <v>38</v>
      </c>
      <c r="B7" t="s">
        <v>3</v>
      </c>
      <c r="C7" s="2">
        <v>20.07</v>
      </c>
      <c r="D7" s="1">
        <f>AVERAGE(C5:C7)</f>
        <v>19.893333333333334</v>
      </c>
      <c r="E7" s="2">
        <v>27.57</v>
      </c>
      <c r="F7" s="1">
        <f t="shared" si="0"/>
        <v>7.6766666666666659</v>
      </c>
      <c r="G7" s="1">
        <f t="shared" si="3"/>
        <v>12.25</v>
      </c>
      <c r="H7" s="1">
        <f t="shared" si="1"/>
        <v>-4.5733333333333341</v>
      </c>
      <c r="I7">
        <f t="shared" si="2"/>
        <v>23.807320222502959</v>
      </c>
      <c r="J7" s="8"/>
      <c r="L7" s="4"/>
      <c r="M7" s="4"/>
      <c r="N7" s="4"/>
      <c r="O7" s="4"/>
    </row>
    <row r="8" spans="1:16" s="2" customFormat="1" x14ac:dyDescent="0.3">
      <c r="A8" s="2" t="s">
        <v>37</v>
      </c>
      <c r="B8" t="s">
        <v>3</v>
      </c>
      <c r="C8" s="2">
        <v>18.38</v>
      </c>
      <c r="D8" s="1">
        <f>AVERAGE(C8:C10)</f>
        <v>18.233333333333334</v>
      </c>
      <c r="E8" s="2">
        <v>32.92</v>
      </c>
      <c r="F8" s="1">
        <f>E8-D8</f>
        <v>14.686666666666667</v>
      </c>
      <c r="G8" s="1">
        <f>AVERAGE(F8:F10)</f>
        <v>14.763333333333334</v>
      </c>
      <c r="H8" s="1">
        <f>F8-G8</f>
        <v>-7.6666666666666217E-2</v>
      </c>
      <c r="I8">
        <f>POWER(2,-H8)</f>
        <v>1.0545786295160127</v>
      </c>
      <c r="J8" s="8" t="s">
        <v>36</v>
      </c>
      <c r="M8" s="4"/>
      <c r="N8" s="4"/>
      <c r="O8" s="4"/>
    </row>
    <row r="9" spans="1:16" s="2" customFormat="1" x14ac:dyDescent="0.3">
      <c r="A9" s="2" t="s">
        <v>37</v>
      </c>
      <c r="B9" t="s">
        <v>3</v>
      </c>
      <c r="C9" s="2">
        <v>18.37</v>
      </c>
      <c r="D9" s="1">
        <f>AVERAGE(C8:C10)</f>
        <v>18.233333333333334</v>
      </c>
      <c r="E9" s="2">
        <v>33.54</v>
      </c>
      <c r="F9" s="1">
        <f t="shared" ref="F9:F13" si="4">E9-D9</f>
        <v>15.306666666666665</v>
      </c>
      <c r="G9" s="1">
        <f>G8</f>
        <v>14.763333333333334</v>
      </c>
      <c r="H9" s="1">
        <f t="shared" ref="H9:H13" si="5">F9-G9</f>
        <v>0.54333333333333123</v>
      </c>
      <c r="I9">
        <f t="shared" ref="I9:I13" si="6">POWER(2,-H9)</f>
        <v>0.68618365522189084</v>
      </c>
      <c r="J9" s="8"/>
      <c r="M9" s="4"/>
      <c r="N9" s="4"/>
      <c r="O9" s="4"/>
    </row>
    <row r="10" spans="1:16" s="2" customFormat="1" x14ac:dyDescent="0.3">
      <c r="A10" s="2" t="s">
        <v>37</v>
      </c>
      <c r="B10" t="s">
        <v>3</v>
      </c>
      <c r="C10" s="2">
        <v>17.95</v>
      </c>
      <c r="D10" s="1">
        <f>AVERAGE(C8:C10)</f>
        <v>18.233333333333334</v>
      </c>
      <c r="E10" s="2">
        <v>32.53</v>
      </c>
      <c r="F10" s="1">
        <f t="shared" si="4"/>
        <v>14.296666666666667</v>
      </c>
      <c r="G10" s="1">
        <f t="shared" ref="G10:G13" si="7">G9</f>
        <v>14.763333333333334</v>
      </c>
      <c r="H10" s="1">
        <f t="shared" si="5"/>
        <v>-0.46666666666666679</v>
      </c>
      <c r="I10">
        <f t="shared" si="6"/>
        <v>1.3819128799677762</v>
      </c>
      <c r="J10" s="8"/>
      <c r="M10" s="4"/>
      <c r="N10" s="4"/>
      <c r="O10" s="4"/>
    </row>
    <row r="11" spans="1:16" s="2" customFormat="1" ht="15.5" x14ac:dyDescent="0.3">
      <c r="A11" s="5" t="s">
        <v>38</v>
      </c>
      <c r="B11" t="s">
        <v>3</v>
      </c>
      <c r="C11" s="2">
        <v>20.03</v>
      </c>
      <c r="D11" s="1">
        <f>AVERAGE(C11:C13)</f>
        <v>19.893333333333334</v>
      </c>
      <c r="E11" s="2">
        <v>32.57</v>
      </c>
      <c r="F11" s="1">
        <f t="shared" si="4"/>
        <v>12.676666666666666</v>
      </c>
      <c r="G11" s="1">
        <f t="shared" si="7"/>
        <v>14.763333333333334</v>
      </c>
      <c r="H11" s="1">
        <f t="shared" si="5"/>
        <v>-2.0866666666666678</v>
      </c>
      <c r="I11">
        <f t="shared" si="6"/>
        <v>4.2476552158494334</v>
      </c>
      <c r="J11" s="8"/>
      <c r="L11" s="4"/>
      <c r="M11" s="4"/>
      <c r="N11" s="4"/>
      <c r="O11" s="4"/>
    </row>
    <row r="12" spans="1:16" s="2" customFormat="1" ht="15.5" x14ac:dyDescent="0.3">
      <c r="A12" s="5" t="s">
        <v>38</v>
      </c>
      <c r="B12" t="s">
        <v>3</v>
      </c>
      <c r="C12" s="2">
        <v>19.579999999999998</v>
      </c>
      <c r="D12" s="1">
        <f>AVERAGE(C11:C13)</f>
        <v>19.893333333333334</v>
      </c>
      <c r="E12" s="2">
        <v>31.67</v>
      </c>
      <c r="F12" s="1">
        <f t="shared" si="4"/>
        <v>11.776666666666667</v>
      </c>
      <c r="G12" s="1">
        <f t="shared" si="7"/>
        <v>14.763333333333334</v>
      </c>
      <c r="H12" s="1">
        <f t="shared" si="5"/>
        <v>-2.9866666666666664</v>
      </c>
      <c r="I12">
        <f t="shared" si="6"/>
        <v>7.9264049061218325</v>
      </c>
      <c r="J12" s="8"/>
      <c r="L12" s="4"/>
      <c r="M12" s="4"/>
      <c r="N12" s="4"/>
      <c r="O12" s="4"/>
    </row>
    <row r="13" spans="1:16" s="2" customFormat="1" ht="15.5" x14ac:dyDescent="0.3">
      <c r="A13" s="5" t="s">
        <v>38</v>
      </c>
      <c r="B13" t="s">
        <v>3</v>
      </c>
      <c r="C13" s="2">
        <v>20.07</v>
      </c>
      <c r="D13" s="1">
        <f>AVERAGE(C11:C13)</f>
        <v>19.893333333333334</v>
      </c>
      <c r="E13" s="2">
        <v>31.78</v>
      </c>
      <c r="F13" s="1">
        <f t="shared" si="4"/>
        <v>11.886666666666667</v>
      </c>
      <c r="G13" s="1">
        <f t="shared" si="7"/>
        <v>14.763333333333334</v>
      </c>
      <c r="H13" s="1">
        <f t="shared" si="5"/>
        <v>-2.8766666666666669</v>
      </c>
      <c r="I13">
        <f t="shared" si="6"/>
        <v>7.3445121597217593</v>
      </c>
      <c r="J13" s="8"/>
      <c r="L13" s="4"/>
      <c r="M13" s="4"/>
      <c r="N13" s="4"/>
      <c r="O13" s="4"/>
      <c r="P13" s="4"/>
    </row>
    <row r="14" spans="1:16" s="2" customFormat="1" x14ac:dyDescent="0.3">
      <c r="B14"/>
      <c r="D14" s="1"/>
      <c r="F14" s="1"/>
      <c r="G14" s="1"/>
      <c r="H14" s="1"/>
      <c r="I14"/>
      <c r="J14" s="8"/>
      <c r="N14" s="4"/>
      <c r="O14" s="4"/>
      <c r="P14" s="4"/>
    </row>
    <row r="15" spans="1:16" s="2" customFormat="1" x14ac:dyDescent="0.3">
      <c r="B15"/>
      <c r="D15" s="1"/>
      <c r="F15" s="1"/>
      <c r="G15" s="1"/>
      <c r="H15" s="1"/>
      <c r="I15"/>
      <c r="J15" s="8"/>
      <c r="N15" s="4"/>
      <c r="O15" s="4"/>
      <c r="P15" s="4"/>
    </row>
    <row r="16" spans="1:16" s="2" customFormat="1" x14ac:dyDescent="0.3">
      <c r="B16"/>
      <c r="D16" s="1"/>
      <c r="F16" s="1"/>
      <c r="G16" s="1"/>
      <c r="H16" s="1"/>
      <c r="I16"/>
      <c r="J16" s="8"/>
      <c r="N16" s="4"/>
      <c r="O16" s="4"/>
      <c r="P16" s="4"/>
    </row>
    <row r="17" spans="1:16" s="2" customFormat="1" ht="15.5" x14ac:dyDescent="0.3">
      <c r="A17" s="5"/>
      <c r="B17"/>
      <c r="D17" s="1"/>
      <c r="F17" s="1"/>
      <c r="G17" s="1"/>
      <c r="H17" s="1"/>
      <c r="I17"/>
      <c r="J17" s="8"/>
      <c r="L17" s="4"/>
      <c r="M17" s="4"/>
      <c r="N17" s="4"/>
      <c r="O17" s="4"/>
      <c r="P17" s="4"/>
    </row>
    <row r="18" spans="1:16" s="2" customFormat="1" ht="15.5" x14ac:dyDescent="0.3">
      <c r="A18" s="5"/>
      <c r="B18"/>
      <c r="D18" s="1"/>
      <c r="F18" s="1"/>
      <c r="G18" s="1"/>
      <c r="H18" s="1"/>
      <c r="I18"/>
      <c r="J18" s="8"/>
      <c r="L18" s="4"/>
      <c r="M18" s="4"/>
      <c r="N18" s="4"/>
      <c r="O18" s="4"/>
      <c r="P18" s="4"/>
    </row>
    <row r="19" spans="1:16" s="2" customFormat="1" ht="15.5" x14ac:dyDescent="0.3">
      <c r="A19" s="5"/>
      <c r="B19"/>
      <c r="D19" s="1"/>
      <c r="F19" s="1"/>
      <c r="G19" s="1"/>
      <c r="H19" s="1"/>
      <c r="I19"/>
      <c r="J19" s="8"/>
      <c r="L19" s="4"/>
      <c r="M19" s="4"/>
      <c r="N19" s="4"/>
      <c r="O19" s="4"/>
      <c r="P19" s="4"/>
    </row>
    <row r="20" spans="1:16" s="2" customFormat="1" x14ac:dyDescent="0.3">
      <c r="B20"/>
      <c r="D20" s="1"/>
      <c r="F20" s="1"/>
      <c r="G20" s="1"/>
      <c r="H20" s="1"/>
      <c r="I20"/>
      <c r="J20" s="8"/>
      <c r="N20" s="4"/>
      <c r="O20" s="4"/>
      <c r="P20" s="4"/>
    </row>
    <row r="21" spans="1:16" s="2" customFormat="1" x14ac:dyDescent="0.3">
      <c r="B21"/>
      <c r="D21" s="1"/>
      <c r="F21" s="1"/>
      <c r="G21" s="1"/>
      <c r="H21" s="1"/>
      <c r="I21"/>
      <c r="J21" s="8"/>
      <c r="N21" s="4"/>
      <c r="O21" s="4"/>
      <c r="P21" s="4"/>
    </row>
    <row r="22" spans="1:16" s="2" customFormat="1" x14ac:dyDescent="0.3">
      <c r="B22"/>
      <c r="D22" s="1"/>
      <c r="F22" s="1"/>
      <c r="G22" s="1"/>
      <c r="H22" s="1"/>
      <c r="I22"/>
      <c r="J22" s="8"/>
      <c r="N22" s="4"/>
      <c r="O22" s="4"/>
      <c r="P22" s="4"/>
    </row>
    <row r="23" spans="1:16" s="2" customFormat="1" ht="15.5" x14ac:dyDescent="0.3">
      <c r="A23" s="5"/>
      <c r="B23"/>
      <c r="D23" s="1"/>
      <c r="F23" s="1"/>
      <c r="G23" s="1"/>
      <c r="H23" s="1"/>
      <c r="I23"/>
      <c r="J23" s="8"/>
      <c r="L23" s="4"/>
      <c r="M23" s="4"/>
      <c r="N23" s="4"/>
      <c r="O23" s="4"/>
      <c r="P23" s="4"/>
    </row>
    <row r="24" spans="1:16" s="2" customFormat="1" ht="15.5" x14ac:dyDescent="0.3">
      <c r="A24" s="5"/>
      <c r="B24"/>
      <c r="D24" s="1"/>
      <c r="F24" s="1"/>
      <c r="G24" s="1"/>
      <c r="H24" s="1"/>
      <c r="I24"/>
      <c r="J24" s="8"/>
      <c r="L24" s="4"/>
      <c r="M24" s="4"/>
      <c r="N24" s="4"/>
      <c r="O24" s="4"/>
      <c r="P24" s="4"/>
    </row>
    <row r="25" spans="1:16" s="2" customFormat="1" ht="15.5" x14ac:dyDescent="0.3">
      <c r="A25" s="5"/>
      <c r="B25"/>
      <c r="D25" s="1"/>
      <c r="F25" s="1"/>
      <c r="G25" s="1"/>
      <c r="H25" s="1"/>
      <c r="I25"/>
      <c r="J25" s="8"/>
      <c r="L25" s="4"/>
      <c r="M25" s="4"/>
      <c r="N25" s="4"/>
      <c r="O25" s="4"/>
      <c r="P25" s="4"/>
    </row>
    <row r="26" spans="1:16" x14ac:dyDescent="0.3">
      <c r="A26" s="2"/>
      <c r="C26" s="2"/>
      <c r="D26" s="1"/>
      <c r="E26" s="2"/>
      <c r="F26" s="1"/>
      <c r="G26" s="1"/>
      <c r="H26" s="1"/>
      <c r="J26" s="8"/>
    </row>
    <row r="27" spans="1:16" x14ac:dyDescent="0.3">
      <c r="A27" s="2"/>
      <c r="C27" s="2"/>
      <c r="D27" s="1"/>
      <c r="E27" s="2"/>
      <c r="F27" s="1"/>
      <c r="G27" s="1"/>
      <c r="H27" s="1"/>
      <c r="J27" s="8"/>
    </row>
    <row r="28" spans="1:16" x14ac:dyDescent="0.3">
      <c r="A28" s="2"/>
      <c r="C28" s="2"/>
      <c r="D28" s="1"/>
      <c r="E28" s="2"/>
      <c r="F28" s="1"/>
      <c r="G28" s="1"/>
      <c r="H28" s="1"/>
      <c r="J28" s="8"/>
    </row>
    <row r="29" spans="1:16" ht="15.5" x14ac:dyDescent="0.3">
      <c r="A29" s="5"/>
      <c r="C29" s="2"/>
      <c r="D29" s="1"/>
      <c r="E29" s="2"/>
      <c r="F29" s="1"/>
      <c r="G29" s="1"/>
      <c r="H29" s="1"/>
      <c r="J29" s="8"/>
    </row>
    <row r="30" spans="1:16" ht="15.5" x14ac:dyDescent="0.3">
      <c r="A30" s="5"/>
      <c r="C30" s="2"/>
      <c r="D30" s="1"/>
      <c r="E30" s="2"/>
      <c r="F30" s="1"/>
      <c r="G30" s="1"/>
      <c r="H30" s="1"/>
      <c r="J30" s="8"/>
    </row>
    <row r="31" spans="1:16" ht="15.5" x14ac:dyDescent="0.3">
      <c r="A31" s="5"/>
      <c r="C31" s="2"/>
      <c r="D31" s="1"/>
      <c r="E31" s="2"/>
      <c r="F31" s="1"/>
      <c r="G31" s="1"/>
      <c r="H31" s="1"/>
      <c r="J31" s="8"/>
    </row>
  </sheetData>
  <mergeCells count="5">
    <mergeCell ref="J2:J7"/>
    <mergeCell ref="J8:J13"/>
    <mergeCell ref="J14:J19"/>
    <mergeCell ref="J20:J25"/>
    <mergeCell ref="J26:J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35-B93B-4E18-A0FB-EA84F5469F26}">
  <dimension ref="A1:F37"/>
  <sheetViews>
    <sheetView workbookViewId="0">
      <selection activeCell="E8" sqref="E8"/>
    </sheetView>
  </sheetViews>
  <sheetFormatPr defaultRowHeight="14" x14ac:dyDescent="0.3"/>
  <cols>
    <col min="6" max="6" width="13.83203125" bestFit="1" customWidth="1"/>
  </cols>
  <sheetData>
    <row r="1" spans="1:6" s="2" customFormat="1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 s="2" customFormat="1" x14ac:dyDescent="0.3">
      <c r="A2" s="2" t="s">
        <v>4</v>
      </c>
      <c r="B2" s="2" t="s">
        <v>5</v>
      </c>
      <c r="C2" s="2">
        <v>30.61</v>
      </c>
      <c r="D2" s="2">
        <v>80.5</v>
      </c>
      <c r="E2" s="2" t="s">
        <v>33</v>
      </c>
      <c r="F2" s="2" t="s">
        <v>37</v>
      </c>
    </row>
    <row r="3" spans="1:6" s="2" customFormat="1" x14ac:dyDescent="0.3">
      <c r="A3" s="2" t="s">
        <v>6</v>
      </c>
      <c r="B3" s="2" t="s">
        <v>5</v>
      </c>
      <c r="C3" s="2">
        <v>30.73</v>
      </c>
      <c r="D3" s="2">
        <v>80.5</v>
      </c>
      <c r="E3" s="2" t="s">
        <v>33</v>
      </c>
      <c r="F3" s="2" t="s">
        <v>37</v>
      </c>
    </row>
    <row r="4" spans="1:6" s="2" customFormat="1" x14ac:dyDescent="0.3">
      <c r="A4" s="2" t="s">
        <v>7</v>
      </c>
      <c r="B4" s="2" t="s">
        <v>5</v>
      </c>
      <c r="C4" s="2">
        <v>30.11</v>
      </c>
      <c r="D4" s="2">
        <v>80.5</v>
      </c>
      <c r="E4" s="2" t="s">
        <v>33</v>
      </c>
      <c r="F4" s="2" t="s">
        <v>37</v>
      </c>
    </row>
    <row r="5" spans="1:6" s="2" customFormat="1" ht="15.5" x14ac:dyDescent="0.3">
      <c r="A5" s="2" t="s">
        <v>8</v>
      </c>
      <c r="B5" s="2" t="s">
        <v>5</v>
      </c>
      <c r="C5" s="2">
        <v>27.46</v>
      </c>
      <c r="D5" s="2">
        <v>81</v>
      </c>
      <c r="E5" s="2" t="s">
        <v>33</v>
      </c>
      <c r="F5" s="5" t="s">
        <v>38</v>
      </c>
    </row>
    <row r="6" spans="1:6" s="2" customFormat="1" ht="15.5" x14ac:dyDescent="0.3">
      <c r="A6" s="2" t="s">
        <v>9</v>
      </c>
      <c r="B6" s="2" t="s">
        <v>5</v>
      </c>
      <c r="C6" s="2">
        <v>27.61</v>
      </c>
      <c r="D6" s="2">
        <v>81</v>
      </c>
      <c r="E6" s="2" t="s">
        <v>33</v>
      </c>
      <c r="F6" s="5" t="s">
        <v>38</v>
      </c>
    </row>
    <row r="7" spans="1:6" s="2" customFormat="1" ht="15.5" x14ac:dyDescent="0.3">
      <c r="A7" s="2" t="s">
        <v>10</v>
      </c>
      <c r="B7" s="2" t="s">
        <v>5</v>
      </c>
      <c r="C7" s="2">
        <v>27.57</v>
      </c>
      <c r="D7" s="2">
        <v>81</v>
      </c>
      <c r="E7" s="2" t="s">
        <v>33</v>
      </c>
      <c r="F7" s="5" t="s">
        <v>38</v>
      </c>
    </row>
    <row r="8" spans="1:6" s="2" customFormat="1" x14ac:dyDescent="0.3">
      <c r="A8" s="2" t="s">
        <v>11</v>
      </c>
      <c r="B8" s="2" t="s">
        <v>5</v>
      </c>
      <c r="C8" s="2">
        <v>32.92</v>
      </c>
      <c r="D8" s="2">
        <v>83</v>
      </c>
      <c r="E8" s="2" t="s">
        <v>35</v>
      </c>
      <c r="F8" s="2" t="s">
        <v>37</v>
      </c>
    </row>
    <row r="9" spans="1:6" s="2" customFormat="1" x14ac:dyDescent="0.3">
      <c r="A9" s="2" t="s">
        <v>12</v>
      </c>
      <c r="B9" s="2" t="s">
        <v>5</v>
      </c>
      <c r="C9" s="2">
        <v>33.54</v>
      </c>
      <c r="D9" s="2">
        <v>83.5</v>
      </c>
      <c r="E9" s="2" t="s">
        <v>35</v>
      </c>
      <c r="F9" s="2" t="s">
        <v>37</v>
      </c>
    </row>
    <row r="10" spans="1:6" s="2" customFormat="1" x14ac:dyDescent="0.3">
      <c r="A10" s="2" t="s">
        <v>13</v>
      </c>
      <c r="B10" s="2" t="s">
        <v>5</v>
      </c>
      <c r="C10" s="2">
        <v>32.53</v>
      </c>
      <c r="D10" s="2">
        <v>85.5</v>
      </c>
      <c r="E10" s="2" t="s">
        <v>35</v>
      </c>
      <c r="F10" s="2" t="s">
        <v>37</v>
      </c>
    </row>
    <row r="11" spans="1:6" s="2" customFormat="1" ht="15.5" x14ac:dyDescent="0.3">
      <c r="A11" s="2" t="s">
        <v>14</v>
      </c>
      <c r="B11" s="2" t="s">
        <v>5</v>
      </c>
      <c r="C11" s="2">
        <v>32.57</v>
      </c>
      <c r="D11" s="2">
        <v>83.5</v>
      </c>
      <c r="E11" s="2" t="s">
        <v>35</v>
      </c>
      <c r="F11" s="5" t="s">
        <v>38</v>
      </c>
    </row>
    <row r="12" spans="1:6" s="2" customFormat="1" ht="15.5" x14ac:dyDescent="0.3">
      <c r="A12" s="2" t="s">
        <v>15</v>
      </c>
      <c r="B12" s="2" t="s">
        <v>5</v>
      </c>
      <c r="C12" s="2">
        <v>31.67</v>
      </c>
      <c r="D12" s="2">
        <v>85.5</v>
      </c>
      <c r="E12" s="2" t="s">
        <v>35</v>
      </c>
      <c r="F12" s="5" t="s">
        <v>38</v>
      </c>
    </row>
    <row r="13" spans="1:6" s="2" customFormat="1" ht="15.5" x14ac:dyDescent="0.3">
      <c r="A13" s="2" t="s">
        <v>16</v>
      </c>
      <c r="B13" s="2" t="s">
        <v>5</v>
      </c>
      <c r="C13" s="2">
        <v>31.78</v>
      </c>
      <c r="D13" s="2">
        <v>86.5</v>
      </c>
      <c r="E13" s="2" t="s">
        <v>35</v>
      </c>
      <c r="F13" s="5" t="s">
        <v>38</v>
      </c>
    </row>
    <row r="14" spans="1:6" s="2" customFormat="1" x14ac:dyDescent="0.3">
      <c r="A14" s="2" t="s">
        <v>17</v>
      </c>
      <c r="B14" s="2" t="s">
        <v>5</v>
      </c>
      <c r="C14" s="2">
        <v>18.38</v>
      </c>
      <c r="D14" s="2">
        <v>85.5</v>
      </c>
      <c r="E14" s="2" t="s">
        <v>3</v>
      </c>
      <c r="F14" s="2" t="s">
        <v>37</v>
      </c>
    </row>
    <row r="15" spans="1:6" s="2" customFormat="1" x14ac:dyDescent="0.3">
      <c r="A15" s="2" t="s">
        <v>18</v>
      </c>
      <c r="B15" s="2" t="s">
        <v>5</v>
      </c>
      <c r="C15" s="2">
        <v>18.37</v>
      </c>
      <c r="D15" s="2">
        <v>85.5</v>
      </c>
      <c r="E15" s="2" t="s">
        <v>3</v>
      </c>
      <c r="F15" s="2" t="s">
        <v>37</v>
      </c>
    </row>
    <row r="16" spans="1:6" s="2" customFormat="1" x14ac:dyDescent="0.3">
      <c r="A16" s="2" t="s">
        <v>19</v>
      </c>
      <c r="B16" s="2" t="s">
        <v>5</v>
      </c>
      <c r="C16" s="2">
        <v>17.95</v>
      </c>
      <c r="D16" s="2">
        <v>85.5</v>
      </c>
      <c r="E16" s="2" t="s">
        <v>3</v>
      </c>
      <c r="F16" s="2" t="s">
        <v>37</v>
      </c>
    </row>
    <row r="17" spans="1:6" s="2" customFormat="1" ht="15.5" x14ac:dyDescent="0.3">
      <c r="A17" s="2" t="s">
        <v>20</v>
      </c>
      <c r="B17" s="2" t="s">
        <v>5</v>
      </c>
      <c r="C17" s="2">
        <v>20.03</v>
      </c>
      <c r="D17" s="2">
        <v>85.5</v>
      </c>
      <c r="E17" s="2" t="s">
        <v>3</v>
      </c>
      <c r="F17" s="5" t="s">
        <v>38</v>
      </c>
    </row>
    <row r="18" spans="1:6" s="2" customFormat="1" ht="15.5" x14ac:dyDescent="0.3">
      <c r="A18" s="2" t="s">
        <v>21</v>
      </c>
      <c r="B18" s="2" t="s">
        <v>5</v>
      </c>
      <c r="C18" s="2">
        <v>19.579999999999998</v>
      </c>
      <c r="D18" s="2">
        <v>85.5</v>
      </c>
      <c r="E18" s="2" t="s">
        <v>3</v>
      </c>
      <c r="F18" s="5" t="s">
        <v>38</v>
      </c>
    </row>
    <row r="19" spans="1:6" s="2" customFormat="1" ht="15.5" x14ac:dyDescent="0.3">
      <c r="A19" s="2" t="s">
        <v>22</v>
      </c>
      <c r="B19" s="2" t="s">
        <v>5</v>
      </c>
      <c r="C19" s="2">
        <v>20.07</v>
      </c>
      <c r="D19" s="2">
        <v>85.5</v>
      </c>
      <c r="E19" s="2" t="s">
        <v>3</v>
      </c>
      <c r="F19" s="5" t="s">
        <v>38</v>
      </c>
    </row>
    <row r="20" spans="1:6" s="2" customFormat="1" x14ac:dyDescent="0.3"/>
    <row r="21" spans="1:6" s="2" customFormat="1" x14ac:dyDescent="0.3"/>
    <row r="22" spans="1:6" s="2" customFormat="1" x14ac:dyDescent="0.3"/>
    <row r="23" spans="1:6" s="2" customFormat="1" ht="15.5" x14ac:dyDescent="0.3">
      <c r="F23" s="5"/>
    </row>
    <row r="24" spans="1:6" s="2" customFormat="1" ht="15.5" x14ac:dyDescent="0.3">
      <c r="F24" s="5"/>
    </row>
    <row r="25" spans="1:6" s="2" customFormat="1" ht="15.5" x14ac:dyDescent="0.3">
      <c r="F25" s="5"/>
    </row>
    <row r="26" spans="1:6" s="2" customFormat="1" x14ac:dyDescent="0.3"/>
    <row r="27" spans="1:6" s="2" customFormat="1" x14ac:dyDescent="0.3"/>
    <row r="28" spans="1:6" s="2" customFormat="1" x14ac:dyDescent="0.3"/>
    <row r="29" spans="1:6" s="2" customFormat="1" ht="15.5" x14ac:dyDescent="0.3">
      <c r="F29" s="5"/>
    </row>
    <row r="30" spans="1:6" s="2" customFormat="1" ht="15.5" x14ac:dyDescent="0.3">
      <c r="F30" s="5"/>
    </row>
    <row r="31" spans="1:6" s="2" customFormat="1" ht="15.5" x14ac:dyDescent="0.3">
      <c r="F31" s="5"/>
    </row>
    <row r="32" spans="1:6" x14ac:dyDescent="0.3">
      <c r="A32" s="2"/>
      <c r="B32" s="2"/>
      <c r="E32" s="2"/>
      <c r="F32" s="2"/>
    </row>
    <row r="33" spans="1:6" x14ac:dyDescent="0.3">
      <c r="A33" s="2"/>
      <c r="B33" s="2"/>
      <c r="E33" s="2"/>
      <c r="F33" s="2"/>
    </row>
    <row r="34" spans="1:6" x14ac:dyDescent="0.3">
      <c r="A34" s="2"/>
      <c r="B34" s="2"/>
      <c r="E34" s="2"/>
      <c r="F34" s="2"/>
    </row>
    <row r="35" spans="1:6" ht="15.5" x14ac:dyDescent="0.3">
      <c r="A35" s="2"/>
      <c r="B35" s="2"/>
      <c r="E35" s="2"/>
      <c r="F35" s="5"/>
    </row>
    <row r="36" spans="1:6" ht="15.5" x14ac:dyDescent="0.3">
      <c r="A36" s="2"/>
      <c r="B36" s="2"/>
      <c r="E36" s="2"/>
      <c r="F36" s="5"/>
    </row>
    <row r="37" spans="1:6" ht="15.5" x14ac:dyDescent="0.3">
      <c r="A37" s="2"/>
      <c r="B37" s="2"/>
      <c r="E37" s="2"/>
      <c r="F37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157-B98D-4847-B267-54B063ED369E}">
  <dimension ref="A1:D4"/>
  <sheetViews>
    <sheetView workbookViewId="0">
      <selection activeCell="E1" sqref="E1:E1048576"/>
    </sheetView>
  </sheetViews>
  <sheetFormatPr defaultRowHeight="14" x14ac:dyDescent="0.3"/>
  <cols>
    <col min="1" max="1" width="13.83203125" bestFit="1" customWidth="1"/>
  </cols>
  <sheetData>
    <row r="1" spans="1:4" ht="15.5" x14ac:dyDescent="0.3">
      <c r="A1" s="5" t="s">
        <v>38</v>
      </c>
      <c r="C1" s="3" t="s">
        <v>29</v>
      </c>
      <c r="D1" s="3" t="s">
        <v>39</v>
      </c>
    </row>
    <row r="2" spans="1:4" x14ac:dyDescent="0.3">
      <c r="B2" s="3" t="s">
        <v>30</v>
      </c>
      <c r="C2" s="6">
        <v>781</v>
      </c>
      <c r="D2" s="6">
        <v>270</v>
      </c>
    </row>
    <row r="3" spans="1:4" x14ac:dyDescent="0.3">
      <c r="B3" s="3"/>
      <c r="C3" s="6">
        <v>745</v>
      </c>
      <c r="D3" s="6">
        <v>281</v>
      </c>
    </row>
    <row r="4" spans="1:4" x14ac:dyDescent="0.3">
      <c r="B4" s="3"/>
      <c r="C4" s="6">
        <v>685</v>
      </c>
      <c r="D4" s="6">
        <v>358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05F-C550-4AC2-86C6-B602196EAFCF}">
  <dimension ref="A1:L8"/>
  <sheetViews>
    <sheetView tabSelected="1" workbookViewId="0">
      <selection activeCell="I14" sqref="I14"/>
    </sheetView>
  </sheetViews>
  <sheetFormatPr defaultRowHeight="14" x14ac:dyDescent="0.3"/>
  <cols>
    <col min="6" max="6" width="10.5" bestFit="1" customWidth="1"/>
  </cols>
  <sheetData>
    <row r="1" spans="1:12" x14ac:dyDescent="0.3">
      <c r="A1" t="s">
        <v>29</v>
      </c>
      <c r="B1" t="s">
        <v>31</v>
      </c>
      <c r="D1" t="s">
        <v>32</v>
      </c>
      <c r="F1" s="3" t="s">
        <v>40</v>
      </c>
      <c r="G1" t="s">
        <v>31</v>
      </c>
      <c r="I1" t="s">
        <v>32</v>
      </c>
    </row>
    <row r="2" spans="1:12" x14ac:dyDescent="0.3">
      <c r="A2">
        <v>1</v>
      </c>
      <c r="B2">
        <v>797571</v>
      </c>
      <c r="C2">
        <f>AVERAGE(B2:B4)</f>
        <v>818415.66666666663</v>
      </c>
      <c r="F2">
        <v>1</v>
      </c>
      <c r="G2">
        <v>852865</v>
      </c>
      <c r="H2">
        <f>G2/G2</f>
        <v>1</v>
      </c>
      <c r="J2">
        <f>AVERAGE(G2:G4)</f>
        <v>848444.66666666663</v>
      </c>
    </row>
    <row r="3" spans="1:12" x14ac:dyDescent="0.3">
      <c r="A3">
        <v>1</v>
      </c>
      <c r="B3">
        <v>809504</v>
      </c>
      <c r="F3">
        <v>1</v>
      </c>
      <c r="G3">
        <v>836525</v>
      </c>
      <c r="H3">
        <f t="shared" ref="H3:H4" si="0">G3/G3</f>
        <v>1</v>
      </c>
    </row>
    <row r="4" spans="1:12" x14ac:dyDescent="0.3">
      <c r="A4">
        <v>1</v>
      </c>
      <c r="B4">
        <v>848172</v>
      </c>
      <c r="F4">
        <v>1</v>
      </c>
      <c r="G4">
        <v>855944</v>
      </c>
      <c r="H4">
        <f t="shared" si="0"/>
        <v>1</v>
      </c>
    </row>
    <row r="5" spans="1:12" x14ac:dyDescent="0.3">
      <c r="A5">
        <v>1</v>
      </c>
      <c r="B5">
        <v>422991</v>
      </c>
      <c r="C5" s="7">
        <f>B5/C2</f>
        <v>0.5168412791055238</v>
      </c>
      <c r="D5" s="7">
        <f>1-C5</f>
        <v>0.4831587208944762</v>
      </c>
      <c r="F5">
        <v>1</v>
      </c>
      <c r="G5">
        <v>745594</v>
      </c>
      <c r="H5" s="7">
        <f>G5/J2</f>
        <v>0.87877740210125665</v>
      </c>
      <c r="I5" s="7">
        <f>1-H5</f>
        <v>0.12122259789874335</v>
      </c>
    </row>
    <row r="6" spans="1:12" x14ac:dyDescent="0.3">
      <c r="A6">
        <v>1</v>
      </c>
      <c r="B6">
        <v>469553</v>
      </c>
      <c r="C6" s="7">
        <f>B6/C2</f>
        <v>0.57373412939716451</v>
      </c>
      <c r="D6" s="7">
        <f t="shared" ref="D6:D7" si="1">1-C6</f>
        <v>0.42626587060283549</v>
      </c>
      <c r="F6">
        <v>1</v>
      </c>
      <c r="G6">
        <v>716339</v>
      </c>
      <c r="H6" s="7">
        <f>G6/J2</f>
        <v>0.84429666204906706</v>
      </c>
      <c r="I6" s="7">
        <f t="shared" ref="I6:I7" si="2">1-H6</f>
        <v>0.15570333795093294</v>
      </c>
    </row>
    <row r="7" spans="1:12" x14ac:dyDescent="0.3">
      <c r="A7">
        <v>1</v>
      </c>
      <c r="B7">
        <v>429457</v>
      </c>
      <c r="C7" s="7">
        <f>B7/C2</f>
        <v>0.52474190987709179</v>
      </c>
      <c r="D7" s="7">
        <f t="shared" si="1"/>
        <v>0.47525809012290821</v>
      </c>
      <c r="F7">
        <v>1</v>
      </c>
      <c r="G7">
        <v>739610</v>
      </c>
      <c r="H7" s="7">
        <f>G7/J2</f>
        <v>0.87172449666723506</v>
      </c>
      <c r="I7" s="7">
        <f t="shared" si="2"/>
        <v>0.12827550333276494</v>
      </c>
    </row>
    <row r="8" spans="1:12" x14ac:dyDescent="0.3">
      <c r="L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</vt:lpstr>
      <vt:lpstr>raw data</vt:lpstr>
      <vt:lpstr>invasion</vt:lpstr>
      <vt:lpstr>wound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</cp:lastModifiedBy>
  <dcterms:created xsi:type="dcterms:W3CDTF">2015-06-05T18:19:34Z</dcterms:created>
  <dcterms:modified xsi:type="dcterms:W3CDTF">2026-03-25T06:10:11Z</dcterms:modified>
</cp:coreProperties>
</file>